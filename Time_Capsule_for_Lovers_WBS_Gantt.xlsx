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&amp; Gantt Chart" sheetId="1" state="visible" r:id="rId1"/>
  </sheets>
  <definedNames>
    <definedName name="_xlnm._FilterDatabase" localSheetId="0" hidden="1">'WBS &amp; Gantt Chart'!$A$4:$S$34</definedName>
    <definedName name="_xlnm.Print_Titles" localSheetId="0">'WBS &amp; Gantt Chart'!$1:$4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Week &quot;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b val="1"/>
      <color rgb="00FFFFFF"/>
      <sz val="9"/>
    </font>
    <font>
      <name val="Arial"/>
      <b val="1"/>
      <color rgb="00202020"/>
      <sz val="9"/>
    </font>
    <font>
      <name val="Arial"/>
      <b val="1"/>
      <color rgb="00FFFFFF"/>
      <sz val="9"/>
    </font>
    <font>
      <name val="Arial"/>
      <color rgb="00202020"/>
      <sz val="9"/>
    </font>
    <font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7FAFD"/>
      </patternFill>
    </fill>
    <fill>
      <patternFill patternType="solid">
        <fgColor rgb="000F7775"/>
      </patternFill>
    </fill>
    <fill>
      <patternFill patternType="solid">
        <fgColor rgb="002F75A5"/>
      </patternFill>
    </fill>
    <fill>
      <patternFill patternType="solid">
        <fgColor rgb="00C65911"/>
      </patternFill>
    </fill>
    <fill>
      <patternFill patternType="solid">
        <fgColor rgb="00BF8F00"/>
      </patternFill>
    </fill>
    <fill>
      <patternFill patternType="solid">
        <fgColor rgb="007030A0"/>
      </patternFill>
    </fill>
  </fills>
  <borders count="4">
    <border>
      <left/>
      <right/>
      <top/>
      <bottom/>
      <diagonal/>
    </border>
    <border>
      <bottom style="medium">
        <color rgb="00203864"/>
      </bottom>
    </border>
    <border>
      <bottom style="hair">
        <color rgb="00D9E1F2"/>
      </bottom>
    </border>
    <border>
      <left style="hair">
        <color rgb="00D9E1F2"/>
      </left>
      <right style="hair">
        <color rgb="00D9E1F2"/>
      </right>
      <bottom style="hair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/>
    </xf>
    <xf numFmtId="0" fontId="5" fillId="2" borderId="2" applyAlignment="1" pivotButton="0" quotePrefix="0" xfId="0">
      <alignment vertical="center" wrapText="1"/>
    </xf>
    <xf numFmtId="0" fontId="5" fillId="5" borderId="3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0" fontId="0" fillId="5" borderId="3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/>
    </xf>
    <xf numFmtId="0" fontId="6" fillId="5" borderId="2" applyAlignment="1" pivotButton="0" quotePrefix="0" xfId="0">
      <alignment vertical="center" wrapText="1" indent="1"/>
    </xf>
    <xf numFmtId="0" fontId="6" fillId="5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/>
    </xf>
    <xf numFmtId="0" fontId="5" fillId="7" borderId="2" applyAlignment="1" pivotButton="0" quotePrefix="0" xfId="0">
      <alignment vertical="center" wrapText="1"/>
    </xf>
    <xf numFmtId="0" fontId="5" fillId="8" borderId="2" applyAlignment="1" pivotButton="0" quotePrefix="0" xfId="0">
      <alignment vertical="center"/>
    </xf>
    <xf numFmtId="0" fontId="5" fillId="8" borderId="2" applyAlignment="1" pivotButton="0" quotePrefix="0" xfId="0">
      <alignment vertical="center" wrapText="1"/>
    </xf>
    <xf numFmtId="0" fontId="5" fillId="9" borderId="2" applyAlignment="1" pivotButton="0" quotePrefix="0" xfId="0">
      <alignment vertical="center"/>
    </xf>
    <xf numFmtId="0" fontId="5" fillId="9" borderId="2" applyAlignment="1" pivotButton="0" quotePrefix="0" xfId="0">
      <alignment vertical="center" wrapText="1"/>
    </xf>
    <xf numFmtId="0" fontId="5" fillId="10" borderId="2" applyAlignment="1" pivotButton="0" quotePrefix="0" xfId="0">
      <alignment vertical="center"/>
    </xf>
    <xf numFmtId="0" fontId="5" fillId="10" borderId="2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6">
    <dxf>
      <font>
        <b val="1"/>
        <color rgb="004472C4"/>
      </font>
      <fill>
        <patternFill patternType="solid">
          <fgColor rgb="004472C4"/>
        </patternFill>
      </fill>
    </dxf>
    <dxf>
      <font>
        <b val="1"/>
        <color rgb="0070ADAD"/>
      </font>
      <fill>
        <patternFill patternType="solid">
          <fgColor rgb="0070ADAD"/>
        </patternFill>
      </fill>
    </dxf>
    <dxf>
      <font>
        <b val="1"/>
        <color rgb="005B9BD5"/>
      </font>
      <fill>
        <patternFill patternType="solid">
          <fgColor rgb="005B9BD5"/>
        </patternFill>
      </fill>
    </dxf>
    <dxf>
      <font>
        <b val="1"/>
        <color rgb="00ED7D31"/>
      </font>
      <fill>
        <patternFill patternType="solid">
          <fgColor rgb="00ED7D31"/>
        </patternFill>
      </fill>
    </dxf>
    <dxf>
      <font>
        <b val="1"/>
        <color rgb="00FFC000"/>
      </font>
      <fill>
        <patternFill patternType="solid">
          <fgColor rgb="00FFC000"/>
        </patternFill>
      </fill>
    </dxf>
    <dxf>
      <font>
        <b val="1"/>
        <color rgb="00C27BA0"/>
      </font>
      <fill>
        <patternFill patternType="solid">
          <fgColor rgb="00C27B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Notes: Project oversight across all phases</t>
      </text>
    </comment>
    <comment ref="B6" authorId="0" shapeId="0">
      <text>
        <t>Notes: Ongoing</t>
      </text>
    </comment>
    <comment ref="B11" authorId="0" shapeId="0">
      <text>
        <t>Notes: Ongoing</t>
      </text>
    </comment>
    <comment ref="B13" authorId="0" shapeId="0">
      <text>
        <t>Notes: Lovers' needs; breakup triggers</t>
      </text>
    </comment>
    <comment ref="B23" authorId="0" shapeId="0">
      <text>
        <t>Notes: Examples: low communication, SOS button</t>
      </text>
    </comment>
    <comment ref="B28" authorId="0" shapeId="0">
      <text>
        <t>Notes: Students/staff feedback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9" customWidth="1" min="2" max="2"/>
    <col width="7" customWidth="1" min="3" max="3"/>
    <col width="37" customWidth="1" min="4" max="4"/>
    <col width="15" customWidth="1" min="5" max="5"/>
    <col width="11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 ht="32" customHeight="1">
      <c r="A1" s="1" t="inlineStr">
        <is>
          <t>TIME CAPSULE FOR LOVERS — WBS &amp; 12-WEEK GANTT CHART</t>
        </is>
      </c>
    </row>
    <row r="2" ht="23" customHeight="1">
      <c r="A2" s="2" t="inlineStr">
        <is>
          <t>Example schedule: 12 weeks | Adjust start/end weeks and task durations to match your team's actual plan</t>
        </is>
      </c>
    </row>
    <row r="4" ht="30" customHeight="1">
      <c r="A4" s="3" t="inlineStr">
        <is>
          <t>WBS ID</t>
        </is>
      </c>
      <c r="B4" s="3" t="inlineStr">
        <is>
          <t>Task Name</t>
        </is>
      </c>
      <c r="C4" s="3" t="inlineStr">
        <is>
          <t>Level</t>
        </is>
      </c>
      <c r="D4" s="3" t="inlineStr">
        <is>
          <t>Deliverable</t>
        </is>
      </c>
      <c r="E4" s="3" t="inlineStr">
        <is>
          <t>Duration (Weeks)</t>
        </is>
      </c>
      <c r="F4" s="3" t="inlineStr">
        <is>
          <t>Start Week</t>
        </is>
      </c>
      <c r="G4" s="3" t="inlineStr">
        <is>
          <t>End Week</t>
        </is>
      </c>
      <c r="H4" s="4" t="n">
        <v>1</v>
      </c>
      <c r="I4" s="4" t="n">
        <v>2</v>
      </c>
      <c r="J4" s="4" t="n">
        <v>3</v>
      </c>
      <c r="K4" s="4" t="n">
        <v>4</v>
      </c>
      <c r="L4" s="4" t="n">
        <v>5</v>
      </c>
      <c r="M4" s="4" t="n">
        <v>6</v>
      </c>
      <c r="N4" s="4" t="n">
        <v>7</v>
      </c>
      <c r="O4" s="4" t="n">
        <v>8</v>
      </c>
      <c r="P4" s="4" t="n">
        <v>9</v>
      </c>
      <c r="Q4" s="4" t="n">
        <v>10</v>
      </c>
      <c r="R4" s="4" t="n">
        <v>11</v>
      </c>
      <c r="S4" s="4" t="n">
        <v>12</v>
      </c>
    </row>
    <row r="5" ht="25" customHeight="1">
      <c r="A5" s="5" t="inlineStr">
        <is>
          <t>1.0</t>
        </is>
      </c>
      <c r="B5" s="6" t="inlineStr">
        <is>
          <t>Time Capsule for Lovers</t>
        </is>
      </c>
      <c r="C5" s="5" t="n">
        <v>1</v>
      </c>
      <c r="D5" s="6" t="inlineStr">
        <is>
          <t>Completed project and deployed prototype</t>
        </is>
      </c>
      <c r="E5" s="5" t="n">
        <v>12</v>
      </c>
      <c r="F5" s="5" t="n">
        <v>1</v>
      </c>
      <c r="G5" s="5" t="n">
        <v>12</v>
      </c>
      <c r="H5" s="7">
        <f>IF(AND(H$4&gt;=$F5,H$4&lt;=$G5),"■","")</f>
        <v/>
      </c>
      <c r="I5" s="7">
        <f>IF(AND(I$4&gt;=$F5,I$4&lt;=$G5),"■","")</f>
        <v/>
      </c>
      <c r="J5" s="7">
        <f>IF(AND(J$4&gt;=$F5,J$4&lt;=$G5),"■","")</f>
        <v/>
      </c>
      <c r="K5" s="7">
        <f>IF(AND(K$4&gt;=$F5,K$4&lt;=$G5),"■","")</f>
        <v/>
      </c>
      <c r="L5" s="7">
        <f>IF(AND(L$4&gt;=$F5,L$4&lt;=$G5),"■","")</f>
        <v/>
      </c>
      <c r="M5" s="7">
        <f>IF(AND(M$4&gt;=$F5,M$4&lt;=$G5),"■","")</f>
        <v/>
      </c>
      <c r="N5" s="7">
        <f>IF(AND(N$4&gt;=$F5,N$4&lt;=$G5),"■","")</f>
        <v/>
      </c>
      <c r="O5" s="7">
        <f>IF(AND(O$4&gt;=$F5,O$4&lt;=$G5),"■","")</f>
        <v/>
      </c>
      <c r="P5" s="7">
        <f>IF(AND(P$4&gt;=$F5,P$4&lt;=$G5),"■","")</f>
        <v/>
      </c>
      <c r="Q5" s="7">
        <f>IF(AND(Q$4&gt;=$F5,Q$4&lt;=$G5),"■","")</f>
        <v/>
      </c>
      <c r="R5" s="7">
        <f>IF(AND(R$4&gt;=$F5,R$4&lt;=$G5),"■","")</f>
        <v/>
      </c>
      <c r="S5" s="7">
        <f>IF(AND(S$4&gt;=$F5,S$4&lt;=$G5),"■","")</f>
        <v/>
      </c>
    </row>
    <row r="6" ht="25" customHeight="1">
      <c r="A6" s="8" t="inlineStr">
        <is>
          <t>1.1</t>
        </is>
      </c>
      <c r="B6" s="9" t="inlineStr">
        <is>
          <t>Project Management</t>
        </is>
      </c>
      <c r="C6" s="8" t="n">
        <v>2</v>
      </c>
      <c r="D6" s="9" t="inlineStr">
        <is>
          <t>Project plan and management documents</t>
        </is>
      </c>
      <c r="E6" s="8" t="n">
        <v>12</v>
      </c>
      <c r="F6" s="8" t="n">
        <v>1</v>
      </c>
      <c r="G6" s="8" t="n">
        <v>12</v>
      </c>
      <c r="H6" s="10">
        <f>IF(AND(H$4&gt;=$F6,H$4&lt;=$G6),"■","")</f>
        <v/>
      </c>
      <c r="I6" s="10">
        <f>IF(AND(I$4&gt;=$F6,I$4&lt;=$G6),"■","")</f>
        <v/>
      </c>
      <c r="J6" s="10">
        <f>IF(AND(J$4&gt;=$F6,J$4&lt;=$G6),"■","")</f>
        <v/>
      </c>
      <c r="K6" s="10">
        <f>IF(AND(K$4&gt;=$F6,K$4&lt;=$G6),"■","")</f>
        <v/>
      </c>
      <c r="L6" s="10">
        <f>IF(AND(L$4&gt;=$F6,L$4&lt;=$G6),"■","")</f>
        <v/>
      </c>
      <c r="M6" s="10">
        <f>IF(AND(M$4&gt;=$F6,M$4&lt;=$G6),"■","")</f>
        <v/>
      </c>
      <c r="N6" s="10">
        <f>IF(AND(N$4&gt;=$F6,N$4&lt;=$G6),"■","")</f>
        <v/>
      </c>
      <c r="O6" s="10">
        <f>IF(AND(O$4&gt;=$F6,O$4&lt;=$G6),"■","")</f>
        <v/>
      </c>
      <c r="P6" s="10">
        <f>IF(AND(P$4&gt;=$F6,P$4&lt;=$G6),"■","")</f>
        <v/>
      </c>
      <c r="Q6" s="10">
        <f>IF(AND(Q$4&gt;=$F6,Q$4&lt;=$G6),"■","")</f>
        <v/>
      </c>
      <c r="R6" s="10">
        <f>IF(AND(R$4&gt;=$F6,R$4&lt;=$G6),"■","")</f>
        <v/>
      </c>
      <c r="S6" s="10">
        <f>IF(AND(S$4&gt;=$F6,S$4&lt;=$G6),"■","")</f>
        <v/>
      </c>
    </row>
    <row r="7" ht="30" customHeight="1">
      <c r="A7" s="11" t="inlineStr">
        <is>
          <t>1.1.1</t>
        </is>
      </c>
      <c r="B7" s="12" t="inlineStr">
        <is>
          <t>Project Charter</t>
        </is>
      </c>
      <c r="C7" s="11" t="n">
        <v>3</v>
      </c>
      <c r="D7" s="13" t="inlineStr">
        <is>
          <t>Approved project charter</t>
        </is>
      </c>
      <c r="E7" s="11" t="n">
        <v>1</v>
      </c>
      <c r="F7" s="11" t="n">
        <v>1</v>
      </c>
      <c r="G7" s="11" t="n">
        <v>1</v>
      </c>
      <c r="H7" s="10">
        <f>IF(AND(H$4&gt;=$F7,H$4&lt;=$G7),"■","")</f>
        <v/>
      </c>
      <c r="I7" s="10">
        <f>IF(AND(I$4&gt;=$F7,I$4&lt;=$G7),"■","")</f>
        <v/>
      </c>
      <c r="J7" s="10">
        <f>IF(AND(J$4&gt;=$F7,J$4&lt;=$G7),"■","")</f>
        <v/>
      </c>
      <c r="K7" s="10">
        <f>IF(AND(K$4&gt;=$F7,K$4&lt;=$G7),"■","")</f>
        <v/>
      </c>
      <c r="L7" s="10">
        <f>IF(AND(L$4&gt;=$F7,L$4&lt;=$G7),"■","")</f>
        <v/>
      </c>
      <c r="M7" s="10">
        <f>IF(AND(M$4&gt;=$F7,M$4&lt;=$G7),"■","")</f>
        <v/>
      </c>
      <c r="N7" s="10">
        <f>IF(AND(N$4&gt;=$F7,N$4&lt;=$G7),"■","")</f>
        <v/>
      </c>
      <c r="O7" s="10">
        <f>IF(AND(O$4&gt;=$F7,O$4&lt;=$G7),"■","")</f>
        <v/>
      </c>
      <c r="P7" s="10">
        <f>IF(AND(P$4&gt;=$F7,P$4&lt;=$G7),"■","")</f>
        <v/>
      </c>
      <c r="Q7" s="10">
        <f>IF(AND(Q$4&gt;=$F7,Q$4&lt;=$G7),"■","")</f>
        <v/>
      </c>
      <c r="R7" s="10">
        <f>IF(AND(R$4&gt;=$F7,R$4&lt;=$G7),"■","")</f>
        <v/>
      </c>
      <c r="S7" s="10">
        <f>IF(AND(S$4&gt;=$F7,S$4&lt;=$G7),"■","")</f>
        <v/>
      </c>
    </row>
    <row r="8" ht="30" customHeight="1">
      <c r="A8" s="11" t="inlineStr">
        <is>
          <t>1.1.2</t>
        </is>
      </c>
      <c r="B8" s="12" t="inlineStr">
        <is>
          <t>Project Plan &amp; Schedule</t>
        </is>
      </c>
      <c r="C8" s="11" t="n">
        <v>3</v>
      </c>
      <c r="D8" s="13" t="inlineStr">
        <is>
          <t>Project plan and schedule</t>
        </is>
      </c>
      <c r="E8" s="11" t="n">
        <v>1</v>
      </c>
      <c r="F8" s="11" t="n">
        <v>1</v>
      </c>
      <c r="G8" s="11" t="n">
        <v>2</v>
      </c>
      <c r="H8" s="10">
        <f>IF(AND(H$4&gt;=$F8,H$4&lt;=$G8),"■","")</f>
        <v/>
      </c>
      <c r="I8" s="10">
        <f>IF(AND(I$4&gt;=$F8,I$4&lt;=$G8),"■","")</f>
        <v/>
      </c>
      <c r="J8" s="10">
        <f>IF(AND(J$4&gt;=$F8,J$4&lt;=$G8),"■","")</f>
        <v/>
      </c>
      <c r="K8" s="10">
        <f>IF(AND(K$4&gt;=$F8,K$4&lt;=$G8),"■","")</f>
        <v/>
      </c>
      <c r="L8" s="10">
        <f>IF(AND(L$4&gt;=$F8,L$4&lt;=$G8),"■","")</f>
        <v/>
      </c>
      <c r="M8" s="10">
        <f>IF(AND(M$4&gt;=$F8,M$4&lt;=$G8),"■","")</f>
        <v/>
      </c>
      <c r="N8" s="10">
        <f>IF(AND(N$4&gt;=$F8,N$4&lt;=$G8),"■","")</f>
        <v/>
      </c>
      <c r="O8" s="10">
        <f>IF(AND(O$4&gt;=$F8,O$4&lt;=$G8),"■","")</f>
        <v/>
      </c>
      <c r="P8" s="10">
        <f>IF(AND(P$4&gt;=$F8,P$4&lt;=$G8),"■","")</f>
        <v/>
      </c>
      <c r="Q8" s="10">
        <f>IF(AND(Q$4&gt;=$F8,Q$4&lt;=$G8),"■","")</f>
        <v/>
      </c>
      <c r="R8" s="10">
        <f>IF(AND(R$4&gt;=$F8,R$4&lt;=$G8),"■","")</f>
        <v/>
      </c>
      <c r="S8" s="10">
        <f>IF(AND(S$4&gt;=$F8,S$4&lt;=$G8),"■","")</f>
        <v/>
      </c>
    </row>
    <row r="9" ht="30" customHeight="1">
      <c r="A9" s="11" t="inlineStr">
        <is>
          <t>1.1.3</t>
        </is>
      </c>
      <c r="B9" s="12" t="inlineStr">
        <is>
          <t>Risk Management Plan</t>
        </is>
      </c>
      <c r="C9" s="11" t="n">
        <v>3</v>
      </c>
      <c r="D9" s="13" t="inlineStr">
        <is>
          <t>Risk register and mitigation plan</t>
        </is>
      </c>
      <c r="E9" s="11" t="n">
        <v>1</v>
      </c>
      <c r="F9" s="11" t="n">
        <v>2</v>
      </c>
      <c r="G9" s="11" t="n">
        <v>3</v>
      </c>
      <c r="H9" s="10">
        <f>IF(AND(H$4&gt;=$F9,H$4&lt;=$G9),"■","")</f>
        <v/>
      </c>
      <c r="I9" s="10">
        <f>IF(AND(I$4&gt;=$F9,I$4&lt;=$G9),"■","")</f>
        <v/>
      </c>
      <c r="J9" s="10">
        <f>IF(AND(J$4&gt;=$F9,J$4&lt;=$G9),"■","")</f>
        <v/>
      </c>
      <c r="K9" s="10">
        <f>IF(AND(K$4&gt;=$F9,K$4&lt;=$G9),"■","")</f>
        <v/>
      </c>
      <c r="L9" s="10">
        <f>IF(AND(L$4&gt;=$F9,L$4&lt;=$G9),"■","")</f>
        <v/>
      </c>
      <c r="M9" s="10">
        <f>IF(AND(M$4&gt;=$F9,M$4&lt;=$G9),"■","")</f>
        <v/>
      </c>
      <c r="N9" s="10">
        <f>IF(AND(N$4&gt;=$F9,N$4&lt;=$G9),"■","")</f>
        <v/>
      </c>
      <c r="O9" s="10">
        <f>IF(AND(O$4&gt;=$F9,O$4&lt;=$G9),"■","")</f>
        <v/>
      </c>
      <c r="P9" s="10">
        <f>IF(AND(P$4&gt;=$F9,P$4&lt;=$G9),"■","")</f>
        <v/>
      </c>
      <c r="Q9" s="10">
        <f>IF(AND(Q$4&gt;=$F9,Q$4&lt;=$G9),"■","")</f>
        <v/>
      </c>
      <c r="R9" s="10">
        <f>IF(AND(R$4&gt;=$F9,R$4&lt;=$G9),"■","")</f>
        <v/>
      </c>
      <c r="S9" s="10">
        <f>IF(AND(S$4&gt;=$F9,S$4&lt;=$G9),"■","")</f>
        <v/>
      </c>
    </row>
    <row r="10" ht="30" customHeight="1">
      <c r="A10" s="11" t="inlineStr">
        <is>
          <t>1.1.4</t>
        </is>
      </c>
      <c r="B10" s="12" t="inlineStr">
        <is>
          <t>Cost Management &amp; Budgeting</t>
        </is>
      </c>
      <c r="C10" s="11" t="n">
        <v>3</v>
      </c>
      <c r="D10" s="13" t="inlineStr">
        <is>
          <t>Budget estimate and cost baseline</t>
        </is>
      </c>
      <c r="E10" s="11" t="n">
        <v>1</v>
      </c>
      <c r="F10" s="11" t="n">
        <v>2</v>
      </c>
      <c r="G10" s="11" t="n">
        <v>3</v>
      </c>
      <c r="H10" s="10">
        <f>IF(AND(H$4&gt;=$F10,H$4&lt;=$G10),"■","")</f>
        <v/>
      </c>
      <c r="I10" s="10">
        <f>IF(AND(I$4&gt;=$F10,I$4&lt;=$G10),"■","")</f>
        <v/>
      </c>
      <c r="J10" s="10">
        <f>IF(AND(J$4&gt;=$F10,J$4&lt;=$G10),"■","")</f>
        <v/>
      </c>
      <c r="K10" s="10">
        <f>IF(AND(K$4&gt;=$F10,K$4&lt;=$G10),"■","")</f>
        <v/>
      </c>
      <c r="L10" s="10">
        <f>IF(AND(L$4&gt;=$F10,L$4&lt;=$G10),"■","")</f>
        <v/>
      </c>
      <c r="M10" s="10">
        <f>IF(AND(M$4&gt;=$F10,M$4&lt;=$G10),"■","")</f>
        <v/>
      </c>
      <c r="N10" s="10">
        <f>IF(AND(N$4&gt;=$F10,N$4&lt;=$G10),"■","")</f>
        <v/>
      </c>
      <c r="O10" s="10">
        <f>IF(AND(O$4&gt;=$F10,O$4&lt;=$G10),"■","")</f>
        <v/>
      </c>
      <c r="P10" s="10">
        <f>IF(AND(P$4&gt;=$F10,P$4&lt;=$G10),"■","")</f>
        <v/>
      </c>
      <c r="Q10" s="10">
        <f>IF(AND(Q$4&gt;=$F10,Q$4&lt;=$G10),"■","")</f>
        <v/>
      </c>
      <c r="R10" s="10">
        <f>IF(AND(R$4&gt;=$F10,R$4&lt;=$G10),"■","")</f>
        <v/>
      </c>
      <c r="S10" s="10">
        <f>IF(AND(S$4&gt;=$F10,S$4&lt;=$G10),"■","")</f>
        <v/>
      </c>
    </row>
    <row r="11" ht="30" customHeight="1">
      <c r="A11" s="11" t="inlineStr">
        <is>
          <t>1.1.5</t>
        </is>
      </c>
      <c r="B11" s="12" t="inlineStr">
        <is>
          <t>Stakeholder Communication</t>
        </is>
      </c>
      <c r="C11" s="11" t="n">
        <v>3</v>
      </c>
      <c r="D11" s="13" t="inlineStr">
        <is>
          <t>Communication plan and updates</t>
        </is>
      </c>
      <c r="E11" s="11" t="n">
        <v>12</v>
      </c>
      <c r="F11" s="11" t="n">
        <v>1</v>
      </c>
      <c r="G11" s="11" t="n">
        <v>12</v>
      </c>
      <c r="H11" s="10">
        <f>IF(AND(H$4&gt;=$F11,H$4&lt;=$G11),"■","")</f>
        <v/>
      </c>
      <c r="I11" s="10">
        <f>IF(AND(I$4&gt;=$F11,I$4&lt;=$G11),"■","")</f>
        <v/>
      </c>
      <c r="J11" s="10">
        <f>IF(AND(J$4&gt;=$F11,J$4&lt;=$G11),"■","")</f>
        <v/>
      </c>
      <c r="K11" s="10">
        <f>IF(AND(K$4&gt;=$F11,K$4&lt;=$G11),"■","")</f>
        <v/>
      </c>
      <c r="L11" s="10">
        <f>IF(AND(L$4&gt;=$F11,L$4&lt;=$G11),"■","")</f>
        <v/>
      </c>
      <c r="M11" s="10">
        <f>IF(AND(M$4&gt;=$F11,M$4&lt;=$G11),"■","")</f>
        <v/>
      </c>
      <c r="N11" s="10">
        <f>IF(AND(N$4&gt;=$F11,N$4&lt;=$G11),"■","")</f>
        <v/>
      </c>
      <c r="O11" s="10">
        <f>IF(AND(O$4&gt;=$F11,O$4&lt;=$G11),"■","")</f>
        <v/>
      </c>
      <c r="P11" s="10">
        <f>IF(AND(P$4&gt;=$F11,P$4&lt;=$G11),"■","")</f>
        <v/>
      </c>
      <c r="Q11" s="10">
        <f>IF(AND(Q$4&gt;=$F11,Q$4&lt;=$G11),"■","")</f>
        <v/>
      </c>
      <c r="R11" s="10">
        <f>IF(AND(R$4&gt;=$F11,R$4&lt;=$G11),"■","")</f>
        <v/>
      </c>
      <c r="S11" s="10">
        <f>IF(AND(S$4&gt;=$F11,S$4&lt;=$G11),"■","")</f>
        <v/>
      </c>
    </row>
    <row r="12" ht="25" customHeight="1">
      <c r="A12" s="14" t="inlineStr">
        <is>
          <t>1.2</t>
        </is>
      </c>
      <c r="B12" s="15" t="inlineStr">
        <is>
          <t>System Analysis &amp; Design</t>
        </is>
      </c>
      <c r="C12" s="14" t="n">
        <v>2</v>
      </c>
      <c r="D12" s="15" t="inlineStr">
        <is>
          <t>Requirements and design package</t>
        </is>
      </c>
      <c r="E12" s="14" t="n">
        <v>4</v>
      </c>
      <c r="F12" s="14" t="n">
        <v>1</v>
      </c>
      <c r="G12" s="14" t="n">
        <v>4</v>
      </c>
      <c r="H12" s="10">
        <f>IF(AND(H$4&gt;=$F12,H$4&lt;=$G12),"■","")</f>
        <v/>
      </c>
      <c r="I12" s="10">
        <f>IF(AND(I$4&gt;=$F12,I$4&lt;=$G12),"■","")</f>
        <v/>
      </c>
      <c r="J12" s="10">
        <f>IF(AND(J$4&gt;=$F12,J$4&lt;=$G12),"■","")</f>
        <v/>
      </c>
      <c r="K12" s="10">
        <f>IF(AND(K$4&gt;=$F12,K$4&lt;=$G12),"■","")</f>
        <v/>
      </c>
      <c r="L12" s="10">
        <f>IF(AND(L$4&gt;=$F12,L$4&lt;=$G12),"■","")</f>
        <v/>
      </c>
      <c r="M12" s="10">
        <f>IF(AND(M$4&gt;=$F12,M$4&lt;=$G12),"■","")</f>
        <v/>
      </c>
      <c r="N12" s="10">
        <f>IF(AND(N$4&gt;=$F12,N$4&lt;=$G12),"■","")</f>
        <v/>
      </c>
      <c r="O12" s="10">
        <f>IF(AND(O$4&gt;=$F12,O$4&lt;=$G12),"■","")</f>
        <v/>
      </c>
      <c r="P12" s="10">
        <f>IF(AND(P$4&gt;=$F12,P$4&lt;=$G12),"■","")</f>
        <v/>
      </c>
      <c r="Q12" s="10">
        <f>IF(AND(Q$4&gt;=$F12,Q$4&lt;=$G12),"■","")</f>
        <v/>
      </c>
      <c r="R12" s="10">
        <f>IF(AND(R$4&gt;=$F12,R$4&lt;=$G12),"■","")</f>
        <v/>
      </c>
      <c r="S12" s="10">
        <f>IF(AND(S$4&gt;=$F12,S$4&lt;=$G12),"■","")</f>
        <v/>
      </c>
    </row>
    <row r="13" ht="30" customHeight="1">
      <c r="A13" s="11" t="inlineStr">
        <is>
          <t>1.2.1</t>
        </is>
      </c>
      <c r="B13" s="12" t="inlineStr">
        <is>
          <t>User Requirements &amp; Stories</t>
        </is>
      </c>
      <c r="C13" s="11" t="n">
        <v>3</v>
      </c>
      <c r="D13" s="13" t="inlineStr">
        <is>
          <t>User stories and requirements</t>
        </is>
      </c>
      <c r="E13" s="11" t="n">
        <v>2</v>
      </c>
      <c r="F13" s="11" t="n">
        <v>1</v>
      </c>
      <c r="G13" s="11" t="n">
        <v>2</v>
      </c>
      <c r="H13" s="10">
        <f>IF(AND(H$4&gt;=$F13,H$4&lt;=$G13),"■","")</f>
        <v/>
      </c>
      <c r="I13" s="10">
        <f>IF(AND(I$4&gt;=$F13,I$4&lt;=$G13),"■","")</f>
        <v/>
      </c>
      <c r="J13" s="10">
        <f>IF(AND(J$4&gt;=$F13,J$4&lt;=$G13),"■","")</f>
        <v/>
      </c>
      <c r="K13" s="10">
        <f>IF(AND(K$4&gt;=$F13,K$4&lt;=$G13),"■","")</f>
        <v/>
      </c>
      <c r="L13" s="10">
        <f>IF(AND(L$4&gt;=$F13,L$4&lt;=$G13),"■","")</f>
        <v/>
      </c>
      <c r="M13" s="10">
        <f>IF(AND(M$4&gt;=$F13,M$4&lt;=$G13),"■","")</f>
        <v/>
      </c>
      <c r="N13" s="10">
        <f>IF(AND(N$4&gt;=$F13,N$4&lt;=$G13),"■","")</f>
        <v/>
      </c>
      <c r="O13" s="10">
        <f>IF(AND(O$4&gt;=$F13,O$4&lt;=$G13),"■","")</f>
        <v/>
      </c>
      <c r="P13" s="10">
        <f>IF(AND(P$4&gt;=$F13,P$4&lt;=$G13),"■","")</f>
        <v/>
      </c>
      <c r="Q13" s="10">
        <f>IF(AND(Q$4&gt;=$F13,Q$4&lt;=$G13),"■","")</f>
        <v/>
      </c>
      <c r="R13" s="10">
        <f>IF(AND(R$4&gt;=$F13,R$4&lt;=$G13),"■","")</f>
        <v/>
      </c>
      <c r="S13" s="10">
        <f>IF(AND(S$4&gt;=$F13,S$4&lt;=$G13),"■","")</f>
        <v/>
      </c>
    </row>
    <row r="14" ht="30" customHeight="1">
      <c r="A14" s="11" t="inlineStr">
        <is>
          <t>1.2.2</t>
        </is>
      </c>
      <c r="B14" s="12" t="inlineStr">
        <is>
          <t>Functional &amp; Non-Functional Requirements</t>
        </is>
      </c>
      <c r="C14" s="11" t="n">
        <v>3</v>
      </c>
      <c r="D14" s="13" t="inlineStr">
        <is>
          <t>Requirements specification</t>
        </is>
      </c>
      <c r="E14" s="11" t="n">
        <v>1</v>
      </c>
      <c r="F14" s="11" t="n">
        <v>2</v>
      </c>
      <c r="G14" s="11" t="n">
        <v>3</v>
      </c>
      <c r="H14" s="10">
        <f>IF(AND(H$4&gt;=$F14,H$4&lt;=$G14),"■","")</f>
        <v/>
      </c>
      <c r="I14" s="10">
        <f>IF(AND(I$4&gt;=$F14,I$4&lt;=$G14),"■","")</f>
        <v/>
      </c>
      <c r="J14" s="10">
        <f>IF(AND(J$4&gt;=$F14,J$4&lt;=$G14),"■","")</f>
        <v/>
      </c>
      <c r="K14" s="10">
        <f>IF(AND(K$4&gt;=$F14,K$4&lt;=$G14),"■","")</f>
        <v/>
      </c>
      <c r="L14" s="10">
        <f>IF(AND(L$4&gt;=$F14,L$4&lt;=$G14),"■","")</f>
        <v/>
      </c>
      <c r="M14" s="10">
        <f>IF(AND(M$4&gt;=$F14,M$4&lt;=$G14),"■","")</f>
        <v/>
      </c>
      <c r="N14" s="10">
        <f>IF(AND(N$4&gt;=$F14,N$4&lt;=$G14),"■","")</f>
        <v/>
      </c>
      <c r="O14" s="10">
        <f>IF(AND(O$4&gt;=$F14,O$4&lt;=$G14),"■","")</f>
        <v/>
      </c>
      <c r="P14" s="10">
        <f>IF(AND(P$4&gt;=$F14,P$4&lt;=$G14),"■","")</f>
        <v/>
      </c>
      <c r="Q14" s="10">
        <f>IF(AND(Q$4&gt;=$F14,Q$4&lt;=$G14),"■","")</f>
        <v/>
      </c>
      <c r="R14" s="10">
        <f>IF(AND(R$4&gt;=$F14,R$4&lt;=$G14),"■","")</f>
        <v/>
      </c>
      <c r="S14" s="10">
        <f>IF(AND(S$4&gt;=$F14,S$4&lt;=$G14),"■","")</f>
        <v/>
      </c>
    </row>
    <row r="15" ht="30" customHeight="1">
      <c r="A15" s="11" t="inlineStr">
        <is>
          <t>1.2.3</t>
        </is>
      </c>
      <c r="B15" s="12" t="inlineStr">
        <is>
          <t>System Architecture Design</t>
        </is>
      </c>
      <c r="C15" s="11" t="n">
        <v>3</v>
      </c>
      <c r="D15" s="13" t="inlineStr">
        <is>
          <t>System architecture</t>
        </is>
      </c>
      <c r="E15" s="11" t="n">
        <v>1</v>
      </c>
      <c r="F15" s="11" t="n">
        <v>3</v>
      </c>
      <c r="G15" s="11" t="n">
        <v>4</v>
      </c>
      <c r="H15" s="10">
        <f>IF(AND(H$4&gt;=$F15,H$4&lt;=$G15),"■","")</f>
        <v/>
      </c>
      <c r="I15" s="10">
        <f>IF(AND(I$4&gt;=$F15,I$4&lt;=$G15),"■","")</f>
        <v/>
      </c>
      <c r="J15" s="10">
        <f>IF(AND(J$4&gt;=$F15,J$4&lt;=$G15),"■","")</f>
        <v/>
      </c>
      <c r="K15" s="10">
        <f>IF(AND(K$4&gt;=$F15,K$4&lt;=$G15),"■","")</f>
        <v/>
      </c>
      <c r="L15" s="10">
        <f>IF(AND(L$4&gt;=$F15,L$4&lt;=$G15),"■","")</f>
        <v/>
      </c>
      <c r="M15" s="10">
        <f>IF(AND(M$4&gt;=$F15,M$4&lt;=$G15),"■","")</f>
        <v/>
      </c>
      <c r="N15" s="10">
        <f>IF(AND(N$4&gt;=$F15,N$4&lt;=$G15),"■","")</f>
        <v/>
      </c>
      <c r="O15" s="10">
        <f>IF(AND(O$4&gt;=$F15,O$4&lt;=$G15),"■","")</f>
        <v/>
      </c>
      <c r="P15" s="10">
        <f>IF(AND(P$4&gt;=$F15,P$4&lt;=$G15),"■","")</f>
        <v/>
      </c>
      <c r="Q15" s="10">
        <f>IF(AND(Q$4&gt;=$F15,Q$4&lt;=$G15),"■","")</f>
        <v/>
      </c>
      <c r="R15" s="10">
        <f>IF(AND(R$4&gt;=$F15,R$4&lt;=$G15),"■","")</f>
        <v/>
      </c>
      <c r="S15" s="10">
        <f>IF(AND(S$4&gt;=$F15,S$4&lt;=$G15),"■","")</f>
        <v/>
      </c>
    </row>
    <row r="16" ht="30" customHeight="1">
      <c r="A16" s="11" t="inlineStr">
        <is>
          <t>1.2.4</t>
        </is>
      </c>
      <c r="B16" s="12" t="inlineStr">
        <is>
          <t>Database Design</t>
        </is>
      </c>
      <c r="C16" s="11" t="n">
        <v>3</v>
      </c>
      <c r="D16" s="13" t="inlineStr">
        <is>
          <t>Database schema for capsules, users, triggers</t>
        </is>
      </c>
      <c r="E16" s="11" t="n">
        <v>1</v>
      </c>
      <c r="F16" s="11" t="n">
        <v>3</v>
      </c>
      <c r="G16" s="11" t="n">
        <v>4</v>
      </c>
      <c r="H16" s="10">
        <f>IF(AND(H$4&gt;=$F16,H$4&lt;=$G16),"■","")</f>
        <v/>
      </c>
      <c r="I16" s="10">
        <f>IF(AND(I$4&gt;=$F16,I$4&lt;=$G16),"■","")</f>
        <v/>
      </c>
      <c r="J16" s="10">
        <f>IF(AND(J$4&gt;=$F16,J$4&lt;=$G16),"■","")</f>
        <v/>
      </c>
      <c r="K16" s="10">
        <f>IF(AND(K$4&gt;=$F16,K$4&lt;=$G16),"■","")</f>
        <v/>
      </c>
      <c r="L16" s="10">
        <f>IF(AND(L$4&gt;=$F16,L$4&lt;=$G16),"■","")</f>
        <v/>
      </c>
      <c r="M16" s="10">
        <f>IF(AND(M$4&gt;=$F16,M$4&lt;=$G16),"■","")</f>
        <v/>
      </c>
      <c r="N16" s="10">
        <f>IF(AND(N$4&gt;=$F16,N$4&lt;=$G16),"■","")</f>
        <v/>
      </c>
      <c r="O16" s="10">
        <f>IF(AND(O$4&gt;=$F16,O$4&lt;=$G16),"■","")</f>
        <v/>
      </c>
      <c r="P16" s="10">
        <f>IF(AND(P$4&gt;=$F16,P$4&lt;=$G16),"■","")</f>
        <v/>
      </c>
      <c r="Q16" s="10">
        <f>IF(AND(Q$4&gt;=$F16,Q$4&lt;=$G16),"■","")</f>
        <v/>
      </c>
      <c r="R16" s="10">
        <f>IF(AND(R$4&gt;=$F16,R$4&lt;=$G16),"■","")</f>
        <v/>
      </c>
      <c r="S16" s="10">
        <f>IF(AND(S$4&gt;=$F16,S$4&lt;=$G16),"■","")</f>
        <v/>
      </c>
    </row>
    <row r="17" ht="30" customHeight="1">
      <c r="A17" s="11" t="inlineStr">
        <is>
          <t>1.2.5</t>
        </is>
      </c>
      <c r="B17" s="12" t="inlineStr">
        <is>
          <t>UI/UX Wireframing &amp; Design</t>
        </is>
      </c>
      <c r="C17" s="11" t="n">
        <v>3</v>
      </c>
      <c r="D17" s="13" t="inlineStr">
        <is>
          <t>Wireframes and UI mockups</t>
        </is>
      </c>
      <c r="E17" s="11" t="n">
        <v>2</v>
      </c>
      <c r="F17" s="11" t="n">
        <v>3</v>
      </c>
      <c r="G17" s="11" t="n">
        <v>4</v>
      </c>
      <c r="H17" s="10">
        <f>IF(AND(H$4&gt;=$F17,H$4&lt;=$G17),"■","")</f>
        <v/>
      </c>
      <c r="I17" s="10">
        <f>IF(AND(I$4&gt;=$F17,I$4&lt;=$G17),"■","")</f>
        <v/>
      </c>
      <c r="J17" s="10">
        <f>IF(AND(J$4&gt;=$F17,J$4&lt;=$G17),"■","")</f>
        <v/>
      </c>
      <c r="K17" s="10">
        <f>IF(AND(K$4&gt;=$F17,K$4&lt;=$G17),"■","")</f>
        <v/>
      </c>
      <c r="L17" s="10">
        <f>IF(AND(L$4&gt;=$F17,L$4&lt;=$G17),"■","")</f>
        <v/>
      </c>
      <c r="M17" s="10">
        <f>IF(AND(M$4&gt;=$F17,M$4&lt;=$G17),"■","")</f>
        <v/>
      </c>
      <c r="N17" s="10">
        <f>IF(AND(N$4&gt;=$F17,N$4&lt;=$G17),"■","")</f>
        <v/>
      </c>
      <c r="O17" s="10">
        <f>IF(AND(O$4&gt;=$F17,O$4&lt;=$G17),"■","")</f>
        <v/>
      </c>
      <c r="P17" s="10">
        <f>IF(AND(P$4&gt;=$F17,P$4&lt;=$G17),"■","")</f>
        <v/>
      </c>
      <c r="Q17" s="10">
        <f>IF(AND(Q$4&gt;=$F17,Q$4&lt;=$G17),"■","")</f>
        <v/>
      </c>
      <c r="R17" s="10">
        <f>IF(AND(R$4&gt;=$F17,R$4&lt;=$G17),"■","")</f>
        <v/>
      </c>
      <c r="S17" s="10">
        <f>IF(AND(S$4&gt;=$F17,S$4&lt;=$G17),"■","")</f>
        <v/>
      </c>
    </row>
    <row r="18" ht="25" customHeight="1">
      <c r="A18" s="16" t="inlineStr">
        <is>
          <t>1.3</t>
        </is>
      </c>
      <c r="B18" s="17" t="inlineStr">
        <is>
          <t>Development &amp; Integration</t>
        </is>
      </c>
      <c r="C18" s="16" t="n">
        <v>2</v>
      </c>
      <c r="D18" s="17" t="inlineStr">
        <is>
          <t>Integrated mobile app prototype</t>
        </is>
      </c>
      <c r="E18" s="16" t="n">
        <v>6</v>
      </c>
      <c r="F18" s="16" t="n">
        <v>5</v>
      </c>
      <c r="G18" s="16" t="n">
        <v>10</v>
      </c>
      <c r="H18" s="10">
        <f>IF(AND(H$4&gt;=$F18,H$4&lt;=$G18),"■","")</f>
        <v/>
      </c>
      <c r="I18" s="10">
        <f>IF(AND(I$4&gt;=$F18,I$4&lt;=$G18),"■","")</f>
        <v/>
      </c>
      <c r="J18" s="10">
        <f>IF(AND(J$4&gt;=$F18,J$4&lt;=$G18),"■","")</f>
        <v/>
      </c>
      <c r="K18" s="10">
        <f>IF(AND(K$4&gt;=$F18,K$4&lt;=$G18),"■","")</f>
        <v/>
      </c>
      <c r="L18" s="10">
        <f>IF(AND(L$4&gt;=$F18,L$4&lt;=$G18),"■","")</f>
        <v/>
      </c>
      <c r="M18" s="10">
        <f>IF(AND(M$4&gt;=$F18,M$4&lt;=$G18),"■","")</f>
        <v/>
      </c>
      <c r="N18" s="10">
        <f>IF(AND(N$4&gt;=$F18,N$4&lt;=$G18),"■","")</f>
        <v/>
      </c>
      <c r="O18" s="10">
        <f>IF(AND(O$4&gt;=$F18,O$4&lt;=$G18),"■","")</f>
        <v/>
      </c>
      <c r="P18" s="10">
        <f>IF(AND(P$4&gt;=$F18,P$4&lt;=$G18),"■","")</f>
        <v/>
      </c>
      <c r="Q18" s="10">
        <f>IF(AND(Q$4&gt;=$F18,Q$4&lt;=$G18),"■","")</f>
        <v/>
      </c>
      <c r="R18" s="10">
        <f>IF(AND(R$4&gt;=$F18,R$4&lt;=$G18),"■","")</f>
        <v/>
      </c>
      <c r="S18" s="10">
        <f>IF(AND(S$4&gt;=$F18,S$4&lt;=$G18),"■","")</f>
        <v/>
      </c>
    </row>
    <row r="19" ht="30" customHeight="1">
      <c r="A19" s="11" t="inlineStr">
        <is>
          <t>1.3.1</t>
        </is>
      </c>
      <c r="B19" s="12" t="inlineStr">
        <is>
          <t>Frontend Development (Mobile App)</t>
        </is>
      </c>
      <c r="C19" s="11" t="n">
        <v>3</v>
      </c>
      <c r="D19" s="13" t="inlineStr">
        <is>
          <t>Mobile app screens and flows</t>
        </is>
      </c>
      <c r="E19" s="11" t="n">
        <v>3</v>
      </c>
      <c r="F19" s="11" t="n">
        <v>5</v>
      </c>
      <c r="G19" s="11" t="n">
        <v>7</v>
      </c>
      <c r="H19" s="10">
        <f>IF(AND(H$4&gt;=$F19,H$4&lt;=$G19),"■","")</f>
        <v/>
      </c>
      <c r="I19" s="10">
        <f>IF(AND(I$4&gt;=$F19,I$4&lt;=$G19),"■","")</f>
        <v/>
      </c>
      <c r="J19" s="10">
        <f>IF(AND(J$4&gt;=$F19,J$4&lt;=$G19),"■","")</f>
        <v/>
      </c>
      <c r="K19" s="10">
        <f>IF(AND(K$4&gt;=$F19,K$4&lt;=$G19),"■","")</f>
        <v/>
      </c>
      <c r="L19" s="10">
        <f>IF(AND(L$4&gt;=$F19,L$4&lt;=$G19),"■","")</f>
        <v/>
      </c>
      <c r="M19" s="10">
        <f>IF(AND(M$4&gt;=$F19,M$4&lt;=$G19),"■","")</f>
        <v/>
      </c>
      <c r="N19" s="10">
        <f>IF(AND(N$4&gt;=$F19,N$4&lt;=$G19),"■","")</f>
        <v/>
      </c>
      <c r="O19" s="10">
        <f>IF(AND(O$4&gt;=$F19,O$4&lt;=$G19),"■","")</f>
        <v/>
      </c>
      <c r="P19" s="10">
        <f>IF(AND(P$4&gt;=$F19,P$4&lt;=$G19),"■","")</f>
        <v/>
      </c>
      <c r="Q19" s="10">
        <f>IF(AND(Q$4&gt;=$F19,Q$4&lt;=$G19),"■","")</f>
        <v/>
      </c>
      <c r="R19" s="10">
        <f>IF(AND(R$4&gt;=$F19,R$4&lt;=$G19),"■","")</f>
        <v/>
      </c>
      <c r="S19" s="10">
        <f>IF(AND(S$4&gt;=$F19,S$4&lt;=$G19),"■","")</f>
        <v/>
      </c>
    </row>
    <row r="20" ht="30" customHeight="1">
      <c r="A20" s="11" t="inlineStr">
        <is>
          <t>1.3.2</t>
        </is>
      </c>
      <c r="B20" s="12" t="inlineStr">
        <is>
          <t>Backend Development (APIs, Server)</t>
        </is>
      </c>
      <c r="C20" s="11" t="n">
        <v>3</v>
      </c>
      <c r="D20" s="13" t="inlineStr">
        <is>
          <t>Backend services and APIs</t>
        </is>
      </c>
      <c r="E20" s="11" t="n">
        <v>4</v>
      </c>
      <c r="F20" s="11" t="n">
        <v>5</v>
      </c>
      <c r="G20" s="11" t="n">
        <v>8</v>
      </c>
      <c r="H20" s="10">
        <f>IF(AND(H$4&gt;=$F20,H$4&lt;=$G20),"■","")</f>
        <v/>
      </c>
      <c r="I20" s="10">
        <f>IF(AND(I$4&gt;=$F20,I$4&lt;=$G20),"■","")</f>
        <v/>
      </c>
      <c r="J20" s="10">
        <f>IF(AND(J$4&gt;=$F20,J$4&lt;=$G20),"■","")</f>
        <v/>
      </c>
      <c r="K20" s="10">
        <f>IF(AND(K$4&gt;=$F20,K$4&lt;=$G20),"■","")</f>
        <v/>
      </c>
      <c r="L20" s="10">
        <f>IF(AND(L$4&gt;=$F20,L$4&lt;=$G20),"■","")</f>
        <v/>
      </c>
      <c r="M20" s="10">
        <f>IF(AND(M$4&gt;=$F20,M$4&lt;=$G20),"■","")</f>
        <v/>
      </c>
      <c r="N20" s="10">
        <f>IF(AND(N$4&gt;=$F20,N$4&lt;=$G20),"■","")</f>
        <v/>
      </c>
      <c r="O20" s="10">
        <f>IF(AND(O$4&gt;=$F20,O$4&lt;=$G20),"■","")</f>
        <v/>
      </c>
      <c r="P20" s="10">
        <f>IF(AND(P$4&gt;=$F20,P$4&lt;=$G20),"■","")</f>
        <v/>
      </c>
      <c r="Q20" s="10">
        <f>IF(AND(Q$4&gt;=$F20,Q$4&lt;=$G20),"■","")</f>
        <v/>
      </c>
      <c r="R20" s="10">
        <f>IF(AND(R$4&gt;=$F20,R$4&lt;=$G20),"■","")</f>
        <v/>
      </c>
      <c r="S20" s="10">
        <f>IF(AND(S$4&gt;=$F20,S$4&lt;=$G20),"■","")</f>
        <v/>
      </c>
    </row>
    <row r="21" ht="30" customHeight="1">
      <c r="A21" s="11" t="inlineStr">
        <is>
          <t>1.3.3</t>
        </is>
      </c>
      <c r="B21" s="12" t="inlineStr">
        <is>
          <t>Database Implementation</t>
        </is>
      </c>
      <c r="C21" s="11" t="n">
        <v>3</v>
      </c>
      <c r="D21" s="13" t="inlineStr">
        <is>
          <t>Implemented database</t>
        </is>
      </c>
      <c r="E21" s="11" t="n">
        <v>2</v>
      </c>
      <c r="F21" s="11" t="n">
        <v>5</v>
      </c>
      <c r="G21" s="11" t="n">
        <v>6</v>
      </c>
      <c r="H21" s="10">
        <f>IF(AND(H$4&gt;=$F21,H$4&lt;=$G21),"■","")</f>
        <v/>
      </c>
      <c r="I21" s="10">
        <f>IF(AND(I$4&gt;=$F21,I$4&lt;=$G21),"■","")</f>
        <v/>
      </c>
      <c r="J21" s="10">
        <f>IF(AND(J$4&gt;=$F21,J$4&lt;=$G21),"■","")</f>
        <v/>
      </c>
      <c r="K21" s="10">
        <f>IF(AND(K$4&gt;=$F21,K$4&lt;=$G21),"■","")</f>
        <v/>
      </c>
      <c r="L21" s="10">
        <f>IF(AND(L$4&gt;=$F21,L$4&lt;=$G21),"■","")</f>
        <v/>
      </c>
      <c r="M21" s="10">
        <f>IF(AND(M$4&gt;=$F21,M$4&lt;=$G21),"■","")</f>
        <v/>
      </c>
      <c r="N21" s="10">
        <f>IF(AND(N$4&gt;=$F21,N$4&lt;=$G21),"■","")</f>
        <v/>
      </c>
      <c r="O21" s="10">
        <f>IF(AND(O$4&gt;=$F21,O$4&lt;=$G21),"■","")</f>
        <v/>
      </c>
      <c r="P21" s="10">
        <f>IF(AND(P$4&gt;=$F21,P$4&lt;=$G21),"■","")</f>
        <v/>
      </c>
      <c r="Q21" s="10">
        <f>IF(AND(Q$4&gt;=$F21,Q$4&lt;=$G21),"■","")</f>
        <v/>
      </c>
      <c r="R21" s="10">
        <f>IF(AND(R$4&gt;=$F21,R$4&lt;=$G21),"■","")</f>
        <v/>
      </c>
      <c r="S21" s="10">
        <f>IF(AND(S$4&gt;=$F21,S$4&lt;=$G21),"■","")</f>
        <v/>
      </c>
    </row>
    <row r="22" ht="30" customHeight="1">
      <c r="A22" s="11" t="inlineStr">
        <is>
          <t>1.3.4</t>
        </is>
      </c>
      <c r="B22" s="12" t="inlineStr">
        <is>
          <t>Time Capsule Creation Functionality</t>
        </is>
      </c>
      <c r="C22" s="11" t="n">
        <v>3</v>
      </c>
      <c r="D22" s="13" t="inlineStr">
        <is>
          <t>Create, save and manage capsules</t>
        </is>
      </c>
      <c r="E22" s="11" t="n">
        <v>2</v>
      </c>
      <c r="F22" s="11" t="n">
        <v>6</v>
      </c>
      <c r="G22" s="11" t="n">
        <v>7</v>
      </c>
      <c r="H22" s="10">
        <f>IF(AND(H$4&gt;=$F22,H$4&lt;=$G22),"■","")</f>
        <v/>
      </c>
      <c r="I22" s="10">
        <f>IF(AND(I$4&gt;=$F22,I$4&lt;=$G22),"■","")</f>
        <v/>
      </c>
      <c r="J22" s="10">
        <f>IF(AND(J$4&gt;=$F22,J$4&lt;=$G22),"■","")</f>
        <v/>
      </c>
      <c r="K22" s="10">
        <f>IF(AND(K$4&gt;=$F22,K$4&lt;=$G22),"■","")</f>
        <v/>
      </c>
      <c r="L22" s="10">
        <f>IF(AND(L$4&gt;=$F22,L$4&lt;=$G22),"■","")</f>
        <v/>
      </c>
      <c r="M22" s="10">
        <f>IF(AND(M$4&gt;=$F22,M$4&lt;=$G22),"■","")</f>
        <v/>
      </c>
      <c r="N22" s="10">
        <f>IF(AND(N$4&gt;=$F22,N$4&lt;=$G22),"■","")</f>
        <v/>
      </c>
      <c r="O22" s="10">
        <f>IF(AND(O$4&gt;=$F22,O$4&lt;=$G22),"■","")</f>
        <v/>
      </c>
      <c r="P22" s="10">
        <f>IF(AND(P$4&gt;=$F22,P$4&lt;=$G22),"■","")</f>
        <v/>
      </c>
      <c r="Q22" s="10">
        <f>IF(AND(Q$4&gt;=$F22,Q$4&lt;=$G22),"■","")</f>
        <v/>
      </c>
      <c r="R22" s="10">
        <f>IF(AND(R$4&gt;=$F22,R$4&lt;=$G22),"■","")</f>
        <v/>
      </c>
      <c r="S22" s="10">
        <f>IF(AND(S$4&gt;=$F22,S$4&lt;=$G22),"■","")</f>
        <v/>
      </c>
    </row>
    <row r="23" ht="30" customHeight="1">
      <c r="A23" s="11" t="inlineStr">
        <is>
          <t>1.3.5</t>
        </is>
      </c>
      <c r="B23" s="12" t="inlineStr">
        <is>
          <t>Trigger Logic &amp; Messaging System</t>
        </is>
      </c>
      <c r="C23" s="11" t="n">
        <v>3</v>
      </c>
      <c r="D23" s="13" t="inlineStr">
        <is>
          <t>Event-based trigger and messaging logic</t>
        </is>
      </c>
      <c r="E23" s="11" t="n">
        <v>3</v>
      </c>
      <c r="F23" s="11" t="n">
        <v>7</v>
      </c>
      <c r="G23" s="11" t="n">
        <v>9</v>
      </c>
      <c r="H23" s="10">
        <f>IF(AND(H$4&gt;=$F23,H$4&lt;=$G23),"■","")</f>
        <v/>
      </c>
      <c r="I23" s="10">
        <f>IF(AND(I$4&gt;=$F23,I$4&lt;=$G23),"■","")</f>
        <v/>
      </c>
      <c r="J23" s="10">
        <f>IF(AND(J$4&gt;=$F23,J$4&lt;=$G23),"■","")</f>
        <v/>
      </c>
      <c r="K23" s="10">
        <f>IF(AND(K$4&gt;=$F23,K$4&lt;=$G23),"■","")</f>
        <v/>
      </c>
      <c r="L23" s="10">
        <f>IF(AND(L$4&gt;=$F23,L$4&lt;=$G23),"■","")</f>
        <v/>
      </c>
      <c r="M23" s="10">
        <f>IF(AND(M$4&gt;=$F23,M$4&lt;=$G23),"■","")</f>
        <v/>
      </c>
      <c r="N23" s="10">
        <f>IF(AND(N$4&gt;=$F23,N$4&lt;=$G23),"■","")</f>
        <v/>
      </c>
      <c r="O23" s="10">
        <f>IF(AND(O$4&gt;=$F23,O$4&lt;=$G23),"■","")</f>
        <v/>
      </c>
      <c r="P23" s="10">
        <f>IF(AND(P$4&gt;=$F23,P$4&lt;=$G23),"■","")</f>
        <v/>
      </c>
      <c r="Q23" s="10">
        <f>IF(AND(Q$4&gt;=$F23,Q$4&lt;=$G23),"■","")</f>
        <v/>
      </c>
      <c r="R23" s="10">
        <f>IF(AND(R$4&gt;=$F23,R$4&lt;=$G23),"■","")</f>
        <v/>
      </c>
      <c r="S23" s="10">
        <f>IF(AND(S$4&gt;=$F23,S$4&lt;=$G23),"■","")</f>
        <v/>
      </c>
    </row>
    <row r="24" ht="30" customHeight="1">
      <c r="A24" s="11" t="inlineStr">
        <is>
          <t>1.3.6</t>
        </is>
      </c>
      <c r="B24" s="12" t="inlineStr">
        <is>
          <t>Capstone Integration</t>
        </is>
      </c>
      <c r="C24" s="11" t="n">
        <v>3</v>
      </c>
      <c r="D24" s="13" t="inlineStr">
        <is>
          <t>Integrated capstone build</t>
        </is>
      </c>
      <c r="E24" s="11" t="n">
        <v>1</v>
      </c>
      <c r="F24" s="11" t="n">
        <v>9</v>
      </c>
      <c r="G24" s="11" t="n">
        <v>10</v>
      </c>
      <c r="H24" s="10">
        <f>IF(AND(H$4&gt;=$F24,H$4&lt;=$G24),"■","")</f>
        <v/>
      </c>
      <c r="I24" s="10">
        <f>IF(AND(I$4&gt;=$F24,I$4&lt;=$G24),"■","")</f>
        <v/>
      </c>
      <c r="J24" s="10">
        <f>IF(AND(J$4&gt;=$F24,J$4&lt;=$G24),"■","")</f>
        <v/>
      </c>
      <c r="K24" s="10">
        <f>IF(AND(K$4&gt;=$F24,K$4&lt;=$G24),"■","")</f>
        <v/>
      </c>
      <c r="L24" s="10">
        <f>IF(AND(L$4&gt;=$F24,L$4&lt;=$G24),"■","")</f>
        <v/>
      </c>
      <c r="M24" s="10">
        <f>IF(AND(M$4&gt;=$F24,M$4&lt;=$G24),"■","")</f>
        <v/>
      </c>
      <c r="N24" s="10">
        <f>IF(AND(N$4&gt;=$F24,N$4&lt;=$G24),"■","")</f>
        <v/>
      </c>
      <c r="O24" s="10">
        <f>IF(AND(O$4&gt;=$F24,O$4&lt;=$G24),"■","")</f>
        <v/>
      </c>
      <c r="P24" s="10">
        <f>IF(AND(P$4&gt;=$F24,P$4&lt;=$G24),"■","")</f>
        <v/>
      </c>
      <c r="Q24" s="10">
        <f>IF(AND(Q$4&gt;=$F24,Q$4&lt;=$G24),"■","")</f>
        <v/>
      </c>
      <c r="R24" s="10">
        <f>IF(AND(R$4&gt;=$F24,R$4&lt;=$G24),"■","")</f>
        <v/>
      </c>
      <c r="S24" s="10">
        <f>IF(AND(S$4&gt;=$F24,S$4&lt;=$G24),"■","")</f>
        <v/>
      </c>
    </row>
    <row r="25" ht="25" customHeight="1">
      <c r="A25" s="18" t="inlineStr">
        <is>
          <t>1.4</t>
        </is>
      </c>
      <c r="B25" s="19" t="inlineStr">
        <is>
          <t>Testing &amp; QA</t>
        </is>
      </c>
      <c r="C25" s="18" t="n">
        <v>2</v>
      </c>
      <c r="D25" s="19" t="inlineStr">
        <is>
          <t>Tested and quality-checked application</t>
        </is>
      </c>
      <c r="E25" s="18" t="n">
        <v>3</v>
      </c>
      <c r="F25" s="18" t="n">
        <v>9</v>
      </c>
      <c r="G25" s="18" t="n">
        <v>11</v>
      </c>
      <c r="H25" s="10">
        <f>IF(AND(H$4&gt;=$F25,H$4&lt;=$G25),"■","")</f>
        <v/>
      </c>
      <c r="I25" s="10">
        <f>IF(AND(I$4&gt;=$F25,I$4&lt;=$G25),"■","")</f>
        <v/>
      </c>
      <c r="J25" s="10">
        <f>IF(AND(J$4&gt;=$F25,J$4&lt;=$G25),"■","")</f>
        <v/>
      </c>
      <c r="K25" s="10">
        <f>IF(AND(K$4&gt;=$F25,K$4&lt;=$G25),"■","")</f>
        <v/>
      </c>
      <c r="L25" s="10">
        <f>IF(AND(L$4&gt;=$F25,L$4&lt;=$G25),"■","")</f>
        <v/>
      </c>
      <c r="M25" s="10">
        <f>IF(AND(M$4&gt;=$F25,M$4&lt;=$G25),"■","")</f>
        <v/>
      </c>
      <c r="N25" s="10">
        <f>IF(AND(N$4&gt;=$F25,N$4&lt;=$G25),"■","")</f>
        <v/>
      </c>
      <c r="O25" s="10">
        <f>IF(AND(O$4&gt;=$F25,O$4&lt;=$G25),"■","")</f>
        <v/>
      </c>
      <c r="P25" s="10">
        <f>IF(AND(P$4&gt;=$F25,P$4&lt;=$G25),"■","")</f>
        <v/>
      </c>
      <c r="Q25" s="10">
        <f>IF(AND(Q$4&gt;=$F25,Q$4&lt;=$G25),"■","")</f>
        <v/>
      </c>
      <c r="R25" s="10">
        <f>IF(AND(R$4&gt;=$F25,R$4&lt;=$G25),"■","")</f>
        <v/>
      </c>
      <c r="S25" s="10">
        <f>IF(AND(S$4&gt;=$F25,S$4&lt;=$G25),"■","")</f>
        <v/>
      </c>
    </row>
    <row r="26" ht="30" customHeight="1">
      <c r="A26" s="11" t="inlineStr">
        <is>
          <t>1.4.1</t>
        </is>
      </c>
      <c r="B26" s="12" t="inlineStr">
        <is>
          <t>Unit Testing</t>
        </is>
      </c>
      <c r="C26" s="11" t="n">
        <v>3</v>
      </c>
      <c r="D26" s="13" t="inlineStr">
        <is>
          <t>Unit test results</t>
        </is>
      </c>
      <c r="E26" s="11" t="n">
        <v>1</v>
      </c>
      <c r="F26" s="11" t="n">
        <v>9</v>
      </c>
      <c r="G26" s="11" t="n">
        <v>9</v>
      </c>
      <c r="H26" s="10">
        <f>IF(AND(H$4&gt;=$F26,H$4&lt;=$G26),"■","")</f>
        <v/>
      </c>
      <c r="I26" s="10">
        <f>IF(AND(I$4&gt;=$F26,I$4&lt;=$G26),"■","")</f>
        <v/>
      </c>
      <c r="J26" s="10">
        <f>IF(AND(J$4&gt;=$F26,J$4&lt;=$G26),"■","")</f>
        <v/>
      </c>
      <c r="K26" s="10">
        <f>IF(AND(K$4&gt;=$F26,K$4&lt;=$G26),"■","")</f>
        <v/>
      </c>
      <c r="L26" s="10">
        <f>IF(AND(L$4&gt;=$F26,L$4&lt;=$G26),"■","")</f>
        <v/>
      </c>
      <c r="M26" s="10">
        <f>IF(AND(M$4&gt;=$F26,M$4&lt;=$G26),"■","")</f>
        <v/>
      </c>
      <c r="N26" s="10">
        <f>IF(AND(N$4&gt;=$F26,N$4&lt;=$G26),"■","")</f>
        <v/>
      </c>
      <c r="O26" s="10">
        <f>IF(AND(O$4&gt;=$F26,O$4&lt;=$G26),"■","")</f>
        <v/>
      </c>
      <c r="P26" s="10">
        <f>IF(AND(P$4&gt;=$F26,P$4&lt;=$G26),"■","")</f>
        <v/>
      </c>
      <c r="Q26" s="10">
        <f>IF(AND(Q$4&gt;=$F26,Q$4&lt;=$G26),"■","")</f>
        <v/>
      </c>
      <c r="R26" s="10">
        <f>IF(AND(R$4&gt;=$F26,R$4&lt;=$G26),"■","")</f>
        <v/>
      </c>
      <c r="S26" s="10">
        <f>IF(AND(S$4&gt;=$F26,S$4&lt;=$G26),"■","")</f>
        <v/>
      </c>
    </row>
    <row r="27" ht="30" customHeight="1">
      <c r="A27" s="11" t="inlineStr">
        <is>
          <t>1.4.2</t>
        </is>
      </c>
      <c r="B27" s="12" t="inlineStr">
        <is>
          <t>System Integration Testing</t>
        </is>
      </c>
      <c r="C27" s="11" t="n">
        <v>3</v>
      </c>
      <c r="D27" s="13" t="inlineStr">
        <is>
          <t>Integration test report</t>
        </is>
      </c>
      <c r="E27" s="11" t="n">
        <v>1</v>
      </c>
      <c r="F27" s="11" t="n">
        <v>10</v>
      </c>
      <c r="G27" s="11" t="n">
        <v>10</v>
      </c>
      <c r="H27" s="10">
        <f>IF(AND(H$4&gt;=$F27,H$4&lt;=$G27),"■","")</f>
        <v/>
      </c>
      <c r="I27" s="10">
        <f>IF(AND(I$4&gt;=$F27,I$4&lt;=$G27),"■","")</f>
        <v/>
      </c>
      <c r="J27" s="10">
        <f>IF(AND(J$4&gt;=$F27,J$4&lt;=$G27),"■","")</f>
        <v/>
      </c>
      <c r="K27" s="10">
        <f>IF(AND(K$4&gt;=$F27,K$4&lt;=$G27),"■","")</f>
        <v/>
      </c>
      <c r="L27" s="10">
        <f>IF(AND(L$4&gt;=$F27,L$4&lt;=$G27),"■","")</f>
        <v/>
      </c>
      <c r="M27" s="10">
        <f>IF(AND(M$4&gt;=$F27,M$4&lt;=$G27),"■","")</f>
        <v/>
      </c>
      <c r="N27" s="10">
        <f>IF(AND(N$4&gt;=$F27,N$4&lt;=$G27),"■","")</f>
        <v/>
      </c>
      <c r="O27" s="10">
        <f>IF(AND(O$4&gt;=$F27,O$4&lt;=$G27),"■","")</f>
        <v/>
      </c>
      <c r="P27" s="10">
        <f>IF(AND(P$4&gt;=$F27,P$4&lt;=$G27),"■","")</f>
        <v/>
      </c>
      <c r="Q27" s="10">
        <f>IF(AND(Q$4&gt;=$F27,Q$4&lt;=$G27),"■","")</f>
        <v/>
      </c>
      <c r="R27" s="10">
        <f>IF(AND(R$4&gt;=$F27,R$4&lt;=$G27),"■","")</f>
        <v/>
      </c>
      <c r="S27" s="10">
        <f>IF(AND(S$4&gt;=$F27,S$4&lt;=$G27),"■","")</f>
        <v/>
      </c>
    </row>
    <row r="28" ht="30" customHeight="1">
      <c r="A28" s="11" t="inlineStr">
        <is>
          <t>1.4.3</t>
        </is>
      </c>
      <c r="B28" s="12" t="inlineStr">
        <is>
          <t>User Acceptance Testing (UAT)</t>
        </is>
      </c>
      <c r="C28" s="11" t="n">
        <v>3</v>
      </c>
      <c r="D28" s="13" t="inlineStr">
        <is>
          <t>Feedback from target users</t>
        </is>
      </c>
      <c r="E28" s="11" t="n">
        <v>1</v>
      </c>
      <c r="F28" s="11" t="n">
        <v>10</v>
      </c>
      <c r="G28" s="11" t="n">
        <v>11</v>
      </c>
      <c r="H28" s="10">
        <f>IF(AND(H$4&gt;=$F28,H$4&lt;=$G28),"■","")</f>
        <v/>
      </c>
      <c r="I28" s="10">
        <f>IF(AND(I$4&gt;=$F28,I$4&lt;=$G28),"■","")</f>
        <v/>
      </c>
      <c r="J28" s="10">
        <f>IF(AND(J$4&gt;=$F28,J$4&lt;=$G28),"■","")</f>
        <v/>
      </c>
      <c r="K28" s="10">
        <f>IF(AND(K$4&gt;=$F28,K$4&lt;=$G28),"■","")</f>
        <v/>
      </c>
      <c r="L28" s="10">
        <f>IF(AND(L$4&gt;=$F28,L$4&lt;=$G28),"■","")</f>
        <v/>
      </c>
      <c r="M28" s="10">
        <f>IF(AND(M$4&gt;=$F28,M$4&lt;=$G28),"■","")</f>
        <v/>
      </c>
      <c r="N28" s="10">
        <f>IF(AND(N$4&gt;=$F28,N$4&lt;=$G28),"■","")</f>
        <v/>
      </c>
      <c r="O28" s="10">
        <f>IF(AND(O$4&gt;=$F28,O$4&lt;=$G28),"■","")</f>
        <v/>
      </c>
      <c r="P28" s="10">
        <f>IF(AND(P$4&gt;=$F28,P$4&lt;=$G28),"■","")</f>
        <v/>
      </c>
      <c r="Q28" s="10">
        <f>IF(AND(Q$4&gt;=$F28,Q$4&lt;=$G28),"■","")</f>
        <v/>
      </c>
      <c r="R28" s="10">
        <f>IF(AND(R$4&gt;=$F28,R$4&lt;=$G28),"■","")</f>
        <v/>
      </c>
      <c r="S28" s="10">
        <f>IF(AND(S$4&gt;=$F28,S$4&lt;=$G28),"■","")</f>
        <v/>
      </c>
    </row>
    <row r="29" ht="30" customHeight="1">
      <c r="A29" s="11" t="inlineStr">
        <is>
          <t>1.4.4</t>
        </is>
      </c>
      <c r="B29" s="12" t="inlineStr">
        <is>
          <t>Performance &amp; Security Testing</t>
        </is>
      </c>
      <c r="C29" s="11" t="n">
        <v>3</v>
      </c>
      <c r="D29" s="13" t="inlineStr">
        <is>
          <t>Performance and security results</t>
        </is>
      </c>
      <c r="E29" s="11" t="n">
        <v>1</v>
      </c>
      <c r="F29" s="11" t="n">
        <v>11</v>
      </c>
      <c r="G29" s="11" t="n">
        <v>11</v>
      </c>
      <c r="H29" s="10">
        <f>IF(AND(H$4&gt;=$F29,H$4&lt;=$G29),"■","")</f>
        <v/>
      </c>
      <c r="I29" s="10">
        <f>IF(AND(I$4&gt;=$F29,I$4&lt;=$G29),"■","")</f>
        <v/>
      </c>
      <c r="J29" s="10">
        <f>IF(AND(J$4&gt;=$F29,J$4&lt;=$G29),"■","")</f>
        <v/>
      </c>
      <c r="K29" s="10">
        <f>IF(AND(K$4&gt;=$F29,K$4&lt;=$G29),"■","")</f>
        <v/>
      </c>
      <c r="L29" s="10">
        <f>IF(AND(L$4&gt;=$F29,L$4&lt;=$G29),"■","")</f>
        <v/>
      </c>
      <c r="M29" s="10">
        <f>IF(AND(M$4&gt;=$F29,M$4&lt;=$G29),"■","")</f>
        <v/>
      </c>
      <c r="N29" s="10">
        <f>IF(AND(N$4&gt;=$F29,N$4&lt;=$G29),"■","")</f>
        <v/>
      </c>
      <c r="O29" s="10">
        <f>IF(AND(O$4&gt;=$F29,O$4&lt;=$G29),"■","")</f>
        <v/>
      </c>
      <c r="P29" s="10">
        <f>IF(AND(P$4&gt;=$F29,P$4&lt;=$G29),"■","")</f>
        <v/>
      </c>
      <c r="Q29" s="10">
        <f>IF(AND(Q$4&gt;=$F29,Q$4&lt;=$G29),"■","")</f>
        <v/>
      </c>
      <c r="R29" s="10">
        <f>IF(AND(R$4&gt;=$F29,R$4&lt;=$G29),"■","")</f>
        <v/>
      </c>
      <c r="S29" s="10">
        <f>IF(AND(S$4&gt;=$F29,S$4&lt;=$G29),"■","")</f>
        <v/>
      </c>
    </row>
    <row r="30" ht="25" customHeight="1">
      <c r="A30" s="20" t="inlineStr">
        <is>
          <t>1.5</t>
        </is>
      </c>
      <c r="B30" s="21" t="inlineStr">
        <is>
          <t>Deployment &amp; Capstone Wrap-up</t>
        </is>
      </c>
      <c r="C30" s="20" t="n">
        <v>2</v>
      </c>
      <c r="D30" s="21" t="inlineStr">
        <is>
          <t>Final capstone deliverables</t>
        </is>
      </c>
      <c r="E30" s="20" t="n">
        <v>2</v>
      </c>
      <c r="F30" s="20" t="n">
        <v>11</v>
      </c>
      <c r="G30" s="20" t="n">
        <v>12</v>
      </c>
      <c r="H30" s="10">
        <f>IF(AND(H$4&gt;=$F30,H$4&lt;=$G30),"■","")</f>
        <v/>
      </c>
      <c r="I30" s="10">
        <f>IF(AND(I$4&gt;=$F30,I$4&lt;=$G30),"■","")</f>
        <v/>
      </c>
      <c r="J30" s="10">
        <f>IF(AND(J$4&gt;=$F30,J$4&lt;=$G30),"■","")</f>
        <v/>
      </c>
      <c r="K30" s="10">
        <f>IF(AND(K$4&gt;=$F30,K$4&lt;=$G30),"■","")</f>
        <v/>
      </c>
      <c r="L30" s="10">
        <f>IF(AND(L$4&gt;=$F30,L$4&lt;=$G30),"■","")</f>
        <v/>
      </c>
      <c r="M30" s="10">
        <f>IF(AND(M$4&gt;=$F30,M$4&lt;=$G30),"■","")</f>
        <v/>
      </c>
      <c r="N30" s="10">
        <f>IF(AND(N$4&gt;=$F30,N$4&lt;=$G30),"■","")</f>
        <v/>
      </c>
      <c r="O30" s="10">
        <f>IF(AND(O$4&gt;=$F30,O$4&lt;=$G30),"■","")</f>
        <v/>
      </c>
      <c r="P30" s="10">
        <f>IF(AND(P$4&gt;=$F30,P$4&lt;=$G30),"■","")</f>
        <v/>
      </c>
      <c r="Q30" s="10">
        <f>IF(AND(Q$4&gt;=$F30,Q$4&lt;=$G30),"■","")</f>
        <v/>
      </c>
      <c r="R30" s="10">
        <f>IF(AND(R$4&gt;=$F30,R$4&lt;=$G30),"■","")</f>
        <v/>
      </c>
      <c r="S30" s="10">
        <f>IF(AND(S$4&gt;=$F30,S$4&lt;=$G30),"■","")</f>
        <v/>
      </c>
    </row>
    <row r="31" ht="30" customHeight="1">
      <c r="A31" s="11" t="inlineStr">
        <is>
          <t>1.5.1</t>
        </is>
      </c>
      <c r="B31" s="12" t="inlineStr">
        <is>
          <t>Final Capstone Documentation &amp; Report</t>
        </is>
      </c>
      <c r="C31" s="11" t="n">
        <v>3</v>
      </c>
      <c r="D31" s="13" t="inlineStr">
        <is>
          <t>Final report and documentation</t>
        </is>
      </c>
      <c r="E31" s="11" t="n">
        <v>2</v>
      </c>
      <c r="F31" s="11" t="n">
        <v>11</v>
      </c>
      <c r="G31" s="11" t="n">
        <v>12</v>
      </c>
      <c r="H31" s="10">
        <f>IF(AND(H$4&gt;=$F31,H$4&lt;=$G31),"■","")</f>
        <v/>
      </c>
      <c r="I31" s="10">
        <f>IF(AND(I$4&gt;=$F31,I$4&lt;=$G31),"■","")</f>
        <v/>
      </c>
      <c r="J31" s="10">
        <f>IF(AND(J$4&gt;=$F31,J$4&lt;=$G31),"■","")</f>
        <v/>
      </c>
      <c r="K31" s="10">
        <f>IF(AND(K$4&gt;=$F31,K$4&lt;=$G31),"■","")</f>
        <v/>
      </c>
      <c r="L31" s="10">
        <f>IF(AND(L$4&gt;=$F31,L$4&lt;=$G31),"■","")</f>
        <v/>
      </c>
      <c r="M31" s="10">
        <f>IF(AND(M$4&gt;=$F31,M$4&lt;=$G31),"■","")</f>
        <v/>
      </c>
      <c r="N31" s="10">
        <f>IF(AND(N$4&gt;=$F31,N$4&lt;=$G31),"■","")</f>
        <v/>
      </c>
      <c r="O31" s="10">
        <f>IF(AND(O$4&gt;=$F31,O$4&lt;=$G31),"■","")</f>
        <v/>
      </c>
      <c r="P31" s="10">
        <f>IF(AND(P$4&gt;=$F31,P$4&lt;=$G31),"■","")</f>
        <v/>
      </c>
      <c r="Q31" s="10">
        <f>IF(AND(Q$4&gt;=$F31,Q$4&lt;=$G31),"■","")</f>
        <v/>
      </c>
      <c r="R31" s="10">
        <f>IF(AND(R$4&gt;=$F31,R$4&lt;=$G31),"■","")</f>
        <v/>
      </c>
      <c r="S31" s="10">
        <f>IF(AND(S$4&gt;=$F31,S$4&lt;=$G31),"■","")</f>
        <v/>
      </c>
    </row>
    <row r="32" ht="30" customHeight="1">
      <c r="A32" s="11" t="inlineStr">
        <is>
          <t>1.5.2</t>
        </is>
      </c>
      <c r="B32" s="12" t="inlineStr">
        <is>
          <t>Project Presentation &amp; Defense</t>
        </is>
      </c>
      <c r="C32" s="11" t="n">
        <v>3</v>
      </c>
      <c r="D32" s="13" t="inlineStr">
        <is>
          <t>Presentation and defense</t>
        </is>
      </c>
      <c r="E32" s="11" t="n">
        <v>1</v>
      </c>
      <c r="F32" s="11" t="n">
        <v>12</v>
      </c>
      <c r="G32" s="11" t="n">
        <v>12</v>
      </c>
      <c r="H32" s="10">
        <f>IF(AND(H$4&gt;=$F32,H$4&lt;=$G32),"■","")</f>
        <v/>
      </c>
      <c r="I32" s="10">
        <f>IF(AND(I$4&gt;=$F32,I$4&lt;=$G32),"■","")</f>
        <v/>
      </c>
      <c r="J32" s="10">
        <f>IF(AND(J$4&gt;=$F32,J$4&lt;=$G32),"■","")</f>
        <v/>
      </c>
      <c r="K32" s="10">
        <f>IF(AND(K$4&gt;=$F32,K$4&lt;=$G32),"■","")</f>
        <v/>
      </c>
      <c r="L32" s="10">
        <f>IF(AND(L$4&gt;=$F32,L$4&lt;=$G32),"■","")</f>
        <v/>
      </c>
      <c r="M32" s="10">
        <f>IF(AND(M$4&gt;=$F32,M$4&lt;=$G32),"■","")</f>
        <v/>
      </c>
      <c r="N32" s="10">
        <f>IF(AND(N$4&gt;=$F32,N$4&lt;=$G32),"■","")</f>
        <v/>
      </c>
      <c r="O32" s="10">
        <f>IF(AND(O$4&gt;=$F32,O$4&lt;=$G32),"■","")</f>
        <v/>
      </c>
      <c r="P32" s="10">
        <f>IF(AND(P$4&gt;=$F32,P$4&lt;=$G32),"■","")</f>
        <v/>
      </c>
      <c r="Q32" s="10">
        <f>IF(AND(Q$4&gt;=$F32,Q$4&lt;=$G32),"■","")</f>
        <v/>
      </c>
      <c r="R32" s="10">
        <f>IF(AND(R$4&gt;=$F32,R$4&lt;=$G32),"■","")</f>
        <v/>
      </c>
      <c r="S32" s="10">
        <f>IF(AND(S$4&gt;=$F32,S$4&lt;=$G32),"■","")</f>
        <v/>
      </c>
    </row>
    <row r="33" ht="30" customHeight="1">
      <c r="A33" s="11" t="inlineStr">
        <is>
          <t>1.5.3</t>
        </is>
      </c>
      <c r="B33" s="12" t="inlineStr">
        <is>
          <t>App Store Deployment (Beta/Prototype)</t>
        </is>
      </c>
      <c r="C33" s="11" t="n">
        <v>3</v>
      </c>
      <c r="D33" s="13" t="inlineStr">
        <is>
          <t>Beta/prototype deployment package</t>
        </is>
      </c>
      <c r="E33" s="11" t="n">
        <v>1</v>
      </c>
      <c r="F33" s="11" t="n">
        <v>11</v>
      </c>
      <c r="G33" s="11" t="n">
        <v>12</v>
      </c>
      <c r="H33" s="10">
        <f>IF(AND(H$4&gt;=$F33,H$4&lt;=$G33),"■","")</f>
        <v/>
      </c>
      <c r="I33" s="10">
        <f>IF(AND(I$4&gt;=$F33,I$4&lt;=$G33),"■","")</f>
        <v/>
      </c>
      <c r="J33" s="10">
        <f>IF(AND(J$4&gt;=$F33,J$4&lt;=$G33),"■","")</f>
        <v/>
      </c>
      <c r="K33" s="10">
        <f>IF(AND(K$4&gt;=$F33,K$4&lt;=$G33),"■","")</f>
        <v/>
      </c>
      <c r="L33" s="10">
        <f>IF(AND(L$4&gt;=$F33,L$4&lt;=$G33),"■","")</f>
        <v/>
      </c>
      <c r="M33" s="10">
        <f>IF(AND(M$4&gt;=$F33,M$4&lt;=$G33),"■","")</f>
        <v/>
      </c>
      <c r="N33" s="10">
        <f>IF(AND(N$4&gt;=$F33,N$4&lt;=$G33),"■","")</f>
        <v/>
      </c>
      <c r="O33" s="10">
        <f>IF(AND(O$4&gt;=$F33,O$4&lt;=$G33),"■","")</f>
        <v/>
      </c>
      <c r="P33" s="10">
        <f>IF(AND(P$4&gt;=$F33,P$4&lt;=$G33),"■","")</f>
        <v/>
      </c>
      <c r="Q33" s="10">
        <f>IF(AND(Q$4&gt;=$F33,Q$4&lt;=$G33),"■","")</f>
        <v/>
      </c>
      <c r="R33" s="10">
        <f>IF(AND(R$4&gt;=$F33,R$4&lt;=$G33),"■","")</f>
        <v/>
      </c>
      <c r="S33" s="10">
        <f>IF(AND(S$4&gt;=$F33,S$4&lt;=$G33),"■","")</f>
        <v/>
      </c>
    </row>
    <row r="34" ht="30" customHeight="1">
      <c r="A34" s="11" t="inlineStr">
        <is>
          <t>1.5.4</t>
        </is>
      </c>
      <c r="B34" s="12" t="inlineStr">
        <is>
          <t>Project Closure &amp; Reflection</t>
        </is>
      </c>
      <c r="C34" s="11" t="n">
        <v>3</v>
      </c>
      <c r="D34" s="13" t="inlineStr">
        <is>
          <t>Lessons learned and closure</t>
        </is>
      </c>
      <c r="E34" s="11" t="n">
        <v>1</v>
      </c>
      <c r="F34" s="11" t="n">
        <v>12</v>
      </c>
      <c r="G34" s="11" t="n">
        <v>12</v>
      </c>
      <c r="H34" s="10">
        <f>IF(AND(H$4&gt;=$F34,H$4&lt;=$G34),"■","")</f>
        <v/>
      </c>
      <c r="I34" s="10">
        <f>IF(AND(I$4&gt;=$F34,I$4&lt;=$G34),"■","")</f>
        <v/>
      </c>
      <c r="J34" s="10">
        <f>IF(AND(J$4&gt;=$F34,J$4&lt;=$G34),"■","")</f>
        <v/>
      </c>
      <c r="K34" s="10">
        <f>IF(AND(K$4&gt;=$F34,K$4&lt;=$G34),"■","")</f>
        <v/>
      </c>
      <c r="L34" s="10">
        <f>IF(AND(L$4&gt;=$F34,L$4&lt;=$G34),"■","")</f>
        <v/>
      </c>
      <c r="M34" s="10">
        <f>IF(AND(M$4&gt;=$F34,M$4&lt;=$G34),"■","")</f>
        <v/>
      </c>
      <c r="N34" s="10">
        <f>IF(AND(N$4&gt;=$F34,N$4&lt;=$G34),"■","")</f>
        <v/>
      </c>
      <c r="O34" s="10">
        <f>IF(AND(O$4&gt;=$F34,O$4&lt;=$G34),"■","")</f>
        <v/>
      </c>
      <c r="P34" s="10">
        <f>IF(AND(P$4&gt;=$F34,P$4&lt;=$G34),"■","")</f>
        <v/>
      </c>
      <c r="Q34" s="10">
        <f>IF(AND(Q$4&gt;=$F34,Q$4&lt;=$G34),"■","")</f>
        <v/>
      </c>
      <c r="R34" s="10">
        <f>IF(AND(R$4&gt;=$F34,R$4&lt;=$G34),"■","")</f>
        <v/>
      </c>
      <c r="S34" s="10">
        <f>IF(AND(S$4&gt;=$F34,S$4&lt;=$G34),"■","")</f>
        <v/>
      </c>
    </row>
    <row r="36" ht="24" customHeight="1">
      <c r="A36" s="22" t="inlineStr">
        <is>
          <t>Legend: colored bars show planned work weeks. Durations and timing are editable example estimates; task notes are attached as cell comments.</t>
        </is>
      </c>
    </row>
  </sheetData>
  <autoFilter ref="A4:S34"/>
  <mergeCells count="3">
    <mergeCell ref="A36:S36"/>
    <mergeCell ref="A2:S2"/>
    <mergeCell ref="A1:S1"/>
  </mergeCells>
  <conditionalFormatting sqref="H5:S5">
    <cfRule type="expression" priority="1" dxfId="0">
      <formula>AND(H$4&gt;=$F5,H$4&lt;=$G5)</formula>
    </cfRule>
  </conditionalFormatting>
  <conditionalFormatting sqref="H6:S6">
    <cfRule type="expression" priority="2" dxfId="1">
      <formula>AND(H$4&gt;=$F6,H$4&lt;=$G6)</formula>
    </cfRule>
  </conditionalFormatting>
  <conditionalFormatting sqref="H7:S7">
    <cfRule type="expression" priority="3" dxfId="1">
      <formula>AND(H$4&gt;=$F7,H$4&lt;=$G7)</formula>
    </cfRule>
  </conditionalFormatting>
  <conditionalFormatting sqref="H8:S8">
    <cfRule type="expression" priority="4" dxfId="1">
      <formula>AND(H$4&gt;=$F8,H$4&lt;=$G8)</formula>
    </cfRule>
  </conditionalFormatting>
  <conditionalFormatting sqref="H9:S9">
    <cfRule type="expression" priority="5" dxfId="1">
      <formula>AND(H$4&gt;=$F9,H$4&lt;=$G9)</formula>
    </cfRule>
  </conditionalFormatting>
  <conditionalFormatting sqref="H10:S10">
    <cfRule type="expression" priority="6" dxfId="1">
      <formula>AND(H$4&gt;=$F10,H$4&lt;=$G10)</formula>
    </cfRule>
  </conditionalFormatting>
  <conditionalFormatting sqref="H11:S11">
    <cfRule type="expression" priority="7" dxfId="1">
      <formula>AND(H$4&gt;=$F11,H$4&lt;=$G11)</formula>
    </cfRule>
  </conditionalFormatting>
  <conditionalFormatting sqref="H12:S12">
    <cfRule type="expression" priority="8" dxfId="2">
      <formula>AND(H$4&gt;=$F12,H$4&lt;=$G12)</formula>
    </cfRule>
  </conditionalFormatting>
  <conditionalFormatting sqref="H13:S13">
    <cfRule type="expression" priority="9" dxfId="2">
      <formula>AND(H$4&gt;=$F13,H$4&lt;=$G13)</formula>
    </cfRule>
  </conditionalFormatting>
  <conditionalFormatting sqref="H14:S14">
    <cfRule type="expression" priority="10" dxfId="2">
      <formula>AND(H$4&gt;=$F14,H$4&lt;=$G14)</formula>
    </cfRule>
  </conditionalFormatting>
  <conditionalFormatting sqref="H15:S15">
    <cfRule type="expression" priority="11" dxfId="2">
      <formula>AND(H$4&gt;=$F15,H$4&lt;=$G15)</formula>
    </cfRule>
  </conditionalFormatting>
  <conditionalFormatting sqref="H16:S16">
    <cfRule type="expression" priority="12" dxfId="2">
      <formula>AND(H$4&gt;=$F16,H$4&lt;=$G16)</formula>
    </cfRule>
  </conditionalFormatting>
  <conditionalFormatting sqref="H17:S17">
    <cfRule type="expression" priority="13" dxfId="2">
      <formula>AND(H$4&gt;=$F17,H$4&lt;=$G17)</formula>
    </cfRule>
  </conditionalFormatting>
  <conditionalFormatting sqref="H18:S18">
    <cfRule type="expression" priority="14" dxfId="3">
      <formula>AND(H$4&gt;=$F18,H$4&lt;=$G18)</formula>
    </cfRule>
  </conditionalFormatting>
  <conditionalFormatting sqref="H19:S19">
    <cfRule type="expression" priority="15" dxfId="3">
      <formula>AND(H$4&gt;=$F19,H$4&lt;=$G19)</formula>
    </cfRule>
  </conditionalFormatting>
  <conditionalFormatting sqref="H20:S20">
    <cfRule type="expression" priority="16" dxfId="3">
      <formula>AND(H$4&gt;=$F20,H$4&lt;=$G20)</formula>
    </cfRule>
  </conditionalFormatting>
  <conditionalFormatting sqref="H21:S21">
    <cfRule type="expression" priority="17" dxfId="3">
      <formula>AND(H$4&gt;=$F21,H$4&lt;=$G21)</formula>
    </cfRule>
  </conditionalFormatting>
  <conditionalFormatting sqref="H22:S22">
    <cfRule type="expression" priority="18" dxfId="3">
      <formula>AND(H$4&gt;=$F22,H$4&lt;=$G22)</formula>
    </cfRule>
  </conditionalFormatting>
  <conditionalFormatting sqref="H23:S23">
    <cfRule type="expression" priority="19" dxfId="3">
      <formula>AND(H$4&gt;=$F23,H$4&lt;=$G23)</formula>
    </cfRule>
  </conditionalFormatting>
  <conditionalFormatting sqref="H24:S24">
    <cfRule type="expression" priority="20" dxfId="3">
      <formula>AND(H$4&gt;=$F24,H$4&lt;=$G24)</formula>
    </cfRule>
  </conditionalFormatting>
  <conditionalFormatting sqref="H25:S25">
    <cfRule type="expression" priority="21" dxfId="4">
      <formula>AND(H$4&gt;=$F25,H$4&lt;=$G25)</formula>
    </cfRule>
  </conditionalFormatting>
  <conditionalFormatting sqref="H26:S26">
    <cfRule type="expression" priority="22" dxfId="4">
      <formula>AND(H$4&gt;=$F26,H$4&lt;=$G26)</formula>
    </cfRule>
  </conditionalFormatting>
  <conditionalFormatting sqref="H27:S27">
    <cfRule type="expression" priority="23" dxfId="4">
      <formula>AND(H$4&gt;=$F27,H$4&lt;=$G27)</formula>
    </cfRule>
  </conditionalFormatting>
  <conditionalFormatting sqref="H28:S28">
    <cfRule type="expression" priority="24" dxfId="4">
      <formula>AND(H$4&gt;=$F28,H$4&lt;=$G28)</formula>
    </cfRule>
  </conditionalFormatting>
  <conditionalFormatting sqref="H29:S29">
    <cfRule type="expression" priority="25" dxfId="4">
      <formula>AND(H$4&gt;=$F29,H$4&lt;=$G29)</formula>
    </cfRule>
  </conditionalFormatting>
  <conditionalFormatting sqref="H30:S30">
    <cfRule type="expression" priority="26" dxfId="5">
      <formula>AND(H$4&gt;=$F30,H$4&lt;=$G30)</formula>
    </cfRule>
  </conditionalFormatting>
  <conditionalFormatting sqref="H31:S31">
    <cfRule type="expression" priority="27" dxfId="5">
      <formula>AND(H$4&gt;=$F31,H$4&lt;=$G31)</formula>
    </cfRule>
  </conditionalFormatting>
  <conditionalFormatting sqref="H32:S32">
    <cfRule type="expression" priority="28" dxfId="5">
      <formula>AND(H$4&gt;=$F32,H$4&lt;=$G32)</formula>
    </cfRule>
  </conditionalFormatting>
  <conditionalFormatting sqref="H33:S33">
    <cfRule type="expression" priority="29" dxfId="5">
      <formula>AND(H$4&gt;=$F33,H$4&lt;=$G33)</formula>
    </cfRule>
  </conditionalFormatting>
  <conditionalFormatting sqref="H34:S34">
    <cfRule type="expression" priority="30" dxfId="5">
      <formula>AND(H$4&gt;=$F34,H$4&lt;=$G34)</formula>
    </cfRule>
  </conditionalFormatting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Time Capsule for Lovers WBS &amp; Gantt Chart</dc:title>
  <dc:subject xmlns:dc="http://purl.org/dc/elements/1.1/">12-week project schedule based on supplied WBS diagram</dc:subject>
  <dcterms:created xmlns:dcterms="http://purl.org/dc/terms/" xmlns:xsi="http://www.w3.org/2001/XMLSchema-instance" xsi:type="dcterms:W3CDTF">2026-10-09T07:10:09Z</dcterms:created>
  <dcterms:modified xmlns:dcterms="http://purl.org/dc/terms/" xmlns:xsi="http://www.w3.org/2001/XMLSchema-instance" xsi:type="dcterms:W3CDTF">2026-10-09T07:10:09Z</dcterms:modified>
</cp:coreProperties>
</file>